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_hop_phi" sheetId="1" state="visible" r:id="rId3"/>
    <sheet name="Doi_tac" sheetId="2" state="visible" r:id="rId4"/>
    <sheet name="Giao_dic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<sst xmlns="http://schemas.openxmlformats.org/spreadsheetml/2006/main" count="128" uniqueCount="79">
  <si>
    <t xml:space="preserve">STT</t>
  </si>
  <si>
    <t xml:space="preserve">Mã NH</t>
  </si>
  <si>
    <t xml:space="preserve">Tên ngân hàng</t>
  </si>
  <si>
    <t xml:space="preserve">Số GD</t>
  </si>
  <si>
    <t xml:space="preserve">Tổng giá trị GD (VND)</t>
  </si>
  <si>
    <t xml:space="preserve">Tỷ lệ phí</t>
  </si>
  <si>
    <t xml:space="preserve">Phí thu (VND)</t>
  </si>
  <si>
    <t xml:space="preserve">Ghi chú</t>
  </si>
  <si>
    <t xml:space="preserve">VCB</t>
  </si>
  <si>
    <t xml:space="preserve">Chữ xanh: dữ liệu nhập tay (mã NH, bảng đối tác, giao dịch).</t>
  </si>
  <si>
    <t xml:space="preserve">BIDV</t>
  </si>
  <si>
    <t xml:space="preserve">Chữ đen: công thức. Tra cứu dùng VLOOKUP(TRIM(...),...,FALSE) – khớp chính xác.</t>
  </si>
  <si>
    <t xml:space="preserve">VTB</t>
  </si>
  <si>
    <t xml:space="preserve">Cột 'Mã NH (thô)' ở Giao_dich cố ý có khoảng trắng thừa; TRIM làm sạch trước khi tra.</t>
  </si>
  <si>
    <t xml:space="preserve">TCB</t>
  </si>
  <si>
    <t xml:space="preserve">Dữ liệu giao dịch là mẫu minh họa (40 dòng), không phải số liệu thật.</t>
  </si>
  <si>
    <t xml:space="preserve">MB</t>
  </si>
  <si>
    <t xml:space="preserve">ACB</t>
  </si>
  <si>
    <t xml:space="preserve">TPB</t>
  </si>
  <si>
    <t xml:space="preserve">SHB</t>
  </si>
  <si>
    <t xml:space="preserve">TỔNG</t>
  </si>
  <si>
    <t xml:space="preserve">Vietcombank</t>
  </si>
  <si>
    <t xml:space="preserve">VietinBank</t>
  </si>
  <si>
    <t xml:space="preserve">Techcombank</t>
  </si>
  <si>
    <t xml:space="preserve">MB Bank</t>
  </si>
  <si>
    <t xml:space="preserve">TPBank</t>
  </si>
  <si>
    <t xml:space="preserve">Mã GD</t>
  </si>
  <si>
    <t xml:space="preserve">Ngày GD</t>
  </si>
  <si>
    <t xml:space="preserve">Mã NH (thô)</t>
  </si>
  <si>
    <t xml:space="preserve">Số tiền (VND)</t>
  </si>
  <si>
    <t xml:space="preserve">Mã NH (đã TRIM)</t>
  </si>
  <si>
    <t xml:space="preserve">Phí (VND)</t>
  </si>
  <si>
    <t xml:space="preserve">GD10001</t>
  </si>
  <si>
    <t xml:space="preserve">GD10002</t>
  </si>
  <si>
    <t xml:space="preserve"> TPB</t>
  </si>
  <si>
    <t xml:space="preserve">GD10003</t>
  </si>
  <si>
    <t xml:space="preserve">GD10004</t>
  </si>
  <si>
    <t xml:space="preserve">BIDV  </t>
  </si>
  <si>
    <t xml:space="preserve">GD10005</t>
  </si>
  <si>
    <t xml:space="preserve">GD10006</t>
  </si>
  <si>
    <t xml:space="preserve">GD10007</t>
  </si>
  <si>
    <t xml:space="preserve">GD10008</t>
  </si>
  <si>
    <t xml:space="preserve">GD10009</t>
  </si>
  <si>
    <t xml:space="preserve">GD10010</t>
  </si>
  <si>
    <t xml:space="preserve">GD10011</t>
  </si>
  <si>
    <t xml:space="preserve">VCB  </t>
  </si>
  <si>
    <t xml:space="preserve">GD10012</t>
  </si>
  <si>
    <t xml:space="preserve">GD10013</t>
  </si>
  <si>
    <t xml:space="preserve">GD10014</t>
  </si>
  <si>
    <t xml:space="preserve">GD10015</t>
  </si>
  <si>
    <t xml:space="preserve">GD10016</t>
  </si>
  <si>
    <t xml:space="preserve">GD10017</t>
  </si>
  <si>
    <t xml:space="preserve"> TCB</t>
  </si>
  <si>
    <t xml:space="preserve">GD10018</t>
  </si>
  <si>
    <t xml:space="preserve">GD10019</t>
  </si>
  <si>
    <t xml:space="preserve">GD10020</t>
  </si>
  <si>
    <t xml:space="preserve">GD10021</t>
  </si>
  <si>
    <t xml:space="preserve">GD10022</t>
  </si>
  <si>
    <t xml:space="preserve"> ACB</t>
  </si>
  <si>
    <t xml:space="preserve">GD10023</t>
  </si>
  <si>
    <t xml:space="preserve">GD10024</t>
  </si>
  <si>
    <t xml:space="preserve">GD10025</t>
  </si>
  <si>
    <t xml:space="preserve">SHB  </t>
  </si>
  <si>
    <t xml:space="preserve">GD10026</t>
  </si>
  <si>
    <t xml:space="preserve">GD10027</t>
  </si>
  <si>
    <t xml:space="preserve"> BIDV</t>
  </si>
  <si>
    <t xml:space="preserve">GD10028</t>
  </si>
  <si>
    <t xml:space="preserve">GD10029</t>
  </si>
  <si>
    <t xml:space="preserve">GD10030</t>
  </si>
  <si>
    <t xml:space="preserve">GD10031</t>
  </si>
  <si>
    <t xml:space="preserve">GD10032</t>
  </si>
  <si>
    <t xml:space="preserve">GD10033</t>
  </si>
  <si>
    <t xml:space="preserve">GD10034</t>
  </si>
  <si>
    <t xml:space="preserve">GD10035</t>
  </si>
  <si>
    <t xml:space="preserve">GD10036</t>
  </si>
  <si>
    <t xml:space="preserve">GD10037</t>
  </si>
  <si>
    <t xml:space="preserve">GD10038</t>
  </si>
  <si>
    <t xml:space="preserve">GD10039</t>
  </si>
  <si>
    <t xml:space="preserve">GD10040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</si>
</sst>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285F"/>
        <bgColor rgb="FF333333"/>
      </patternFill>
    </fill>
    <fill>
      <patternFill patternType="solid">
        <fgColor rgb="FFDCE6F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C"/>
      </left>
      <right style="thin">
        <color rgb="FFB8C4DC"/>
      </right>
      <top style="thin">
        <color rgb="FFB8C4DC"/>
      </top>
      <bottom style="thin">
        <color rgb="FFB8C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C"/>
      <rgbColor rgb="FF808080"/>
      <rgbColor rgb="FF9999FF"/>
      <rgbColor rgb="FF993366"/>
      <rgbColor rgb="FFFFFFCC"/>
      <rgbColor rgb="FFDCE6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28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9" style="0" width="8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5" hidden="false" customHeight="false" outlineLevel="0" collapsed="false">
      <c r="A2" s="3" t="n">
        <v>1</v>
      </c>
      <c r="B2" s="4" t="s">
        <v>8</v>
      </c>
      <c r="C2" s="3" t="str">
        <f aca="false">VLOOKUP(TRIM(B2),Doi_tac!$A$2:$C$9,2,FALSE())</f>
        <v>Vietcombank</v>
      </c>
      <c r="D2" s="3" t="n">
        <f aca="false">COUNTIF(Giao_dich!$E$2:$E$41,B2)</f>
        <v>4</v>
      </c>
      <c r="E2" s="5" t="n">
        <f aca="false">SUMIF(Giao_dich!$E$2:$E$41,B2,Giao_dich!$D$2:$D$41)</f>
        <v>63690000</v>
      </c>
      <c r="F2" s="6" t="n">
        <f aca="false">VLOOKUP(TRIM(B2),Doi_tac!$A$2:$C$9,3,FALSE())</f>
        <v>0.01</v>
      </c>
      <c r="G2" s="5" t="n">
        <f aca="false">SUMIF(Giao_dich!$E$2:$E$41,B2,Giao_dich!$H$2:$H$41)</f>
        <v>636900</v>
      </c>
      <c r="I2" s="7" t="s">
        <v>9</v>
      </c>
    </row>
    <row r="3" customFormat="false" ht="15" hidden="false" customHeight="false" outlineLevel="0" collapsed="false">
      <c r="A3" s="3" t="n">
        <v>2</v>
      </c>
      <c r="B3" s="4" t="s">
        <v>10</v>
      </c>
      <c r="C3" s="3" t="str">
        <f aca="false">VLOOKUP(TRIM(B3),Doi_tac!$A$2:$C$9,2,FALSE())</f>
        <v>BIDV</v>
      </c>
      <c r="D3" s="3" t="n">
        <f aca="false">COUNTIF(Giao_dich!$E$2:$E$41,B3)</f>
        <v>8</v>
      </c>
      <c r="E3" s="5" t="n">
        <f aca="false">SUMIF(Giao_dich!$E$2:$E$41,B3,Giao_dich!$D$2:$D$41)</f>
        <v>104860000</v>
      </c>
      <c r="F3" s="6" t="n">
        <f aca="false">VLOOKUP(TRIM(B3),Doi_tac!$A$2:$C$9,3,FALSE())</f>
        <v>0.009</v>
      </c>
      <c r="G3" s="5" t="n">
        <f aca="false">SUMIF(Giao_dich!$E$2:$E$41,B3,Giao_dich!$H$2:$H$41)</f>
        <v>943740</v>
      </c>
      <c r="I3" s="7" t="s">
        <v>11</v>
      </c>
    </row>
    <row r="4" customFormat="false" ht="15" hidden="false" customHeight="false" outlineLevel="0" collapsed="false">
      <c r="A4" s="3" t="n">
        <v>3</v>
      </c>
      <c r="B4" s="4" t="s">
        <v>12</v>
      </c>
      <c r="C4" s="3" t="str">
        <f aca="false">VLOOKUP(TRIM(B4),Doi_tac!$A$2:$C$9,2,FALSE())</f>
        <v>VietinBank</v>
      </c>
      <c r="D4" s="3" t="n">
        <f aca="false">COUNTIF(Giao_dich!$E$2:$E$41,B4)</f>
        <v>4</v>
      </c>
      <c r="E4" s="5" t="n">
        <f aca="false">SUMIF(Giao_dich!$E$2:$E$41,B4,Giao_dich!$D$2:$D$41)</f>
        <v>68640000</v>
      </c>
      <c r="F4" s="6" t="n">
        <f aca="false">VLOOKUP(TRIM(B4),Doi_tac!$A$2:$C$9,3,FALSE())</f>
        <v>0.0085</v>
      </c>
      <c r="G4" s="5" t="n">
        <f aca="false">SUMIF(Giao_dich!$E$2:$E$41,B4,Giao_dich!$H$2:$H$41)</f>
        <v>583440</v>
      </c>
      <c r="I4" s="7" t="s">
        <v>13</v>
      </c>
    </row>
    <row r="5" customFormat="false" ht="15" hidden="false" customHeight="false" outlineLevel="0" collapsed="false">
      <c r="A5" s="3" t="n">
        <v>4</v>
      </c>
      <c r="B5" s="4" t="s">
        <v>14</v>
      </c>
      <c r="C5" s="3" t="str">
        <f aca="false">VLOOKUP(TRIM(B5),Doi_tac!$A$2:$C$9,2,FALSE())</f>
        <v>Techcombank</v>
      </c>
      <c r="D5" s="3" t="n">
        <f aca="false">COUNTIF(Giao_dich!$E$2:$E$41,B5)</f>
        <v>4</v>
      </c>
      <c r="E5" s="5" t="n">
        <f aca="false">SUMIF(Giao_dich!$E$2:$E$41,B5,Giao_dich!$D$2:$D$41)</f>
        <v>52650000</v>
      </c>
      <c r="F5" s="6" t="n">
        <f aca="false">VLOOKUP(TRIM(B5),Doi_tac!$A$2:$C$9,3,FALSE())</f>
        <v>0.008</v>
      </c>
      <c r="G5" s="5" t="n">
        <f aca="false">SUMIF(Giao_dich!$E$2:$E$41,B5,Giao_dich!$H$2:$H$41)</f>
        <v>421200</v>
      </c>
      <c r="I5" s="7" t="s">
        <v>15</v>
      </c>
    </row>
    <row r="6" customFormat="false" ht="15" hidden="false" customHeight="false" outlineLevel="0" collapsed="false">
      <c r="A6" s="3" t="n">
        <v>5</v>
      </c>
      <c r="B6" s="4" t="s">
        <v>16</v>
      </c>
      <c r="C6" s="3" t="str">
        <f aca="false">VLOOKUP(TRIM(B6),Doi_tac!$A$2:$C$9,2,FALSE())</f>
        <v>MB Bank</v>
      </c>
      <c r="D6" s="3" t="n">
        <f aca="false">COUNTIF(Giao_dich!$E$2:$E$41,B6)</f>
        <v>3</v>
      </c>
      <c r="E6" s="5" t="n">
        <f aca="false">SUMIF(Giao_dich!$E$2:$E$41,B6,Giao_dich!$D$2:$D$41)</f>
        <v>19300000</v>
      </c>
      <c r="F6" s="6" t="n">
        <f aca="false">VLOOKUP(TRIM(B6),Doi_tac!$A$2:$C$9,3,FALSE())</f>
        <v>0.0075</v>
      </c>
      <c r="G6" s="5" t="n">
        <f aca="false">SUMIF(Giao_dich!$E$2:$E$41,B6,Giao_dich!$H$2:$H$41)</f>
        <v>144750</v>
      </c>
    </row>
    <row r="7" customFormat="false" ht="15" hidden="false" customHeight="false" outlineLevel="0" collapsed="false">
      <c r="A7" s="3" t="n">
        <v>6</v>
      </c>
      <c r="B7" s="4" t="s">
        <v>17</v>
      </c>
      <c r="C7" s="3" t="str">
        <f aca="false">VLOOKUP(TRIM(B7),Doi_tac!$A$2:$C$9,2,FALSE())</f>
        <v>ACB</v>
      </c>
      <c r="D7" s="3" t="n">
        <f aca="false">COUNTIF(Giao_dich!$E$2:$E$41,B7)</f>
        <v>5</v>
      </c>
      <c r="E7" s="5" t="n">
        <f aca="false">SUMIF(Giao_dich!$E$2:$E$41,B7,Giao_dich!$D$2:$D$41)</f>
        <v>55380000</v>
      </c>
      <c r="F7" s="6" t="n">
        <f aca="false">VLOOKUP(TRIM(B7),Doi_tac!$A$2:$C$9,3,FALSE())</f>
        <v>0.007</v>
      </c>
      <c r="G7" s="5" t="n">
        <f aca="false">SUMIF(Giao_dich!$E$2:$E$41,B7,Giao_dich!$H$2:$H$41)</f>
        <v>387660</v>
      </c>
    </row>
    <row r="8" customFormat="false" ht="15" hidden="false" customHeight="false" outlineLevel="0" collapsed="false">
      <c r="A8" s="3" t="n">
        <v>7</v>
      </c>
      <c r="B8" s="4" t="s">
        <v>18</v>
      </c>
      <c r="C8" s="3" t="str">
        <f aca="false">VLOOKUP(TRIM(B8),Doi_tac!$A$2:$C$9,2,FALSE())</f>
        <v>TPBank</v>
      </c>
      <c r="D8" s="3" t="n">
        <f aca="false">COUNTIF(Giao_dich!$E$2:$E$41,B8)</f>
        <v>6</v>
      </c>
      <c r="E8" s="5" t="n">
        <f aca="false">SUMIF(Giao_dich!$E$2:$E$41,B8,Giao_dich!$D$2:$D$41)</f>
        <v>54270000</v>
      </c>
      <c r="F8" s="6" t="n">
        <f aca="false">VLOOKUP(TRIM(B8),Doi_tac!$A$2:$C$9,3,FALSE())</f>
        <v>0.007</v>
      </c>
      <c r="G8" s="5" t="n">
        <f aca="false">SUMIF(Giao_dich!$E$2:$E$41,B8,Giao_dich!$H$2:$H$41)</f>
        <v>379890</v>
      </c>
    </row>
    <row r="9" customFormat="false" ht="15" hidden="false" customHeight="false" outlineLevel="0" collapsed="false">
      <c r="A9" s="3" t="n">
        <v>8</v>
      </c>
      <c r="B9" s="4" t="s">
        <v>19</v>
      </c>
      <c r="C9" s="3" t="str">
        <f aca="false">VLOOKUP(TRIM(B9),Doi_tac!$A$2:$C$9,2,FALSE())</f>
        <v>SHB</v>
      </c>
      <c r="D9" s="3" t="n">
        <f aca="false">COUNTIF(Giao_dich!$E$2:$E$41,B9)</f>
        <v>6</v>
      </c>
      <c r="E9" s="5" t="n">
        <f aca="false">SUMIF(Giao_dich!$E$2:$E$41,B9,Giao_dich!$D$2:$D$41)</f>
        <v>80220000</v>
      </c>
      <c r="F9" s="6" t="n">
        <f aca="false">VLOOKUP(TRIM(B9),Doi_tac!$A$2:$C$9,3,FALSE())</f>
        <v>0.0065</v>
      </c>
      <c r="G9" s="5" t="n">
        <f aca="false">SUMIF(Giao_dich!$E$2:$E$41,B9,Giao_dich!$H$2:$H$41)</f>
        <v>521430</v>
      </c>
    </row>
    <row r="10" customFormat="false" ht="15" hidden="false" customHeight="false" outlineLevel="0" collapsed="false">
      <c r="A10" s="8" t="s">
        <v>20</v>
      </c>
      <c r="B10" s="8"/>
      <c r="C10" s="8"/>
      <c r="D10" s="8" t="n">
        <f aca="false">SUM(D2:D9)</f>
        <v>40</v>
      </c>
      <c r="E10" s="9" t="n">
        <f aca="false">SUM(E2:E9)</f>
        <v>499010000</v>
      </c>
      <c r="F10" s="10" t="n">
        <f aca="false">G10/E10</f>
        <v>0.00805396685437166</v>
      </c>
      <c r="G10" s="9" t="n">
        <f aca="false">SUM(G2:G9)</f>
        <v>4019010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5</v>
      </c>
    </row>
    <row r="2" customFormat="false" ht="15" hidden="false" customHeight="false" outlineLevel="0" collapsed="false">
      <c r="A2" s="4" t="s">
        <v>8</v>
      </c>
      <c r="B2" s="4" t="s">
        <v>21</v>
      </c>
      <c r="C2" s="11" t="n">
        <v>0.01</v>
      </c>
    </row>
    <row r="3" customFormat="false" ht="15" hidden="false" customHeight="false" outlineLevel="0" collapsed="false">
      <c r="A3" s="4" t="s">
        <v>10</v>
      </c>
      <c r="B3" s="4" t="s">
        <v>10</v>
      </c>
      <c r="C3" s="11" t="n">
        <v>0.009</v>
      </c>
    </row>
    <row r="4" customFormat="false" ht="15" hidden="false" customHeight="false" outlineLevel="0" collapsed="false">
      <c r="A4" s="4" t="s">
        <v>12</v>
      </c>
      <c r="B4" s="4" t="s">
        <v>22</v>
      </c>
      <c r="C4" s="11" t="n">
        <v>0.0085</v>
      </c>
    </row>
    <row r="5" customFormat="false" ht="15" hidden="false" customHeight="false" outlineLevel="0" collapsed="false">
      <c r="A5" s="4" t="s">
        <v>14</v>
      </c>
      <c r="B5" s="4" t="s">
        <v>23</v>
      </c>
      <c r="C5" s="11" t="n">
        <v>0.008</v>
      </c>
    </row>
    <row r="6" customFormat="false" ht="15" hidden="false" customHeight="false" outlineLevel="0" collapsed="false">
      <c r="A6" s="4" t="s">
        <v>16</v>
      </c>
      <c r="B6" s="4" t="s">
        <v>24</v>
      </c>
      <c r="C6" s="11" t="n">
        <v>0.0075</v>
      </c>
    </row>
    <row r="7" customFormat="false" ht="15" hidden="false" customHeight="false" outlineLevel="0" collapsed="false">
      <c r="A7" s="4" t="s">
        <v>17</v>
      </c>
      <c r="B7" s="4" t="s">
        <v>17</v>
      </c>
      <c r="C7" s="11" t="n">
        <v>0.007</v>
      </c>
    </row>
    <row r="8" customFormat="false" ht="15" hidden="false" customHeight="false" outlineLevel="0" collapsed="false">
      <c r="A8" s="4" t="s">
        <v>18</v>
      </c>
      <c r="B8" s="4" t="s">
        <v>25</v>
      </c>
      <c r="C8" s="11" t="n">
        <v>0.007</v>
      </c>
    </row>
    <row r="9" customFormat="false" ht="15" hidden="false" customHeight="false" outlineLevel="0" collapsed="false">
      <c r="A9" s="4" t="s">
        <v>19</v>
      </c>
      <c r="B9" s="4" t="s">
        <v>19</v>
      </c>
      <c r="C9" s="11" t="n">
        <v>0.0065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</v>
      </c>
      <c r="G1" s="1" t="s">
        <v>5</v>
      </c>
      <c r="H1" s="1" t="s">
        <v>31</v>
      </c>
    </row>
    <row r="2" customFormat="false" ht="15" hidden="false" customHeight="false" outlineLevel="0" collapsed="false">
      <c r="A2" s="4" t="s">
        <v>32</v>
      </c>
      <c r="B2" s="12" t="n">
        <v>45443</v>
      </c>
      <c r="C2" s="4" t="s">
        <v>17</v>
      </c>
      <c r="D2" s="13" t="n">
        <v>6370000</v>
      </c>
      <c r="E2" s="3" t="str">
        <f aca="false">TRIM(C2)</f>
        <v>ACB</v>
      </c>
      <c r="F2" s="3" t="str">
        <f aca="false">VLOOKUP(E2,Doi_tac!$A$2:$C$9,2,FALSE())</f>
        <v>ACB</v>
      </c>
      <c r="G2" s="6" t="n">
        <f aca="false">VLOOKUP(E2,Doi_tac!$A$2:$C$9,3,FALSE())</f>
        <v>0.007</v>
      </c>
      <c r="H2" s="5" t="n">
        <f aca="false">D2*G2</f>
        <v>44590</v>
      </c>
    </row>
    <row r="3" customFormat="false" ht="15" hidden="false" customHeight="false" outlineLevel="0" collapsed="false">
      <c r="A3" s="4" t="s">
        <v>33</v>
      </c>
      <c r="B3" s="12" t="n">
        <v>45433</v>
      </c>
      <c r="C3" s="4" t="s">
        <v>34</v>
      </c>
      <c r="D3" s="13" t="n">
        <v>2170000</v>
      </c>
      <c r="E3" s="3" t="str">
        <f aca="false">TRIM(C3)</f>
        <v>TPB</v>
      </c>
      <c r="F3" s="3" t="str">
        <f aca="false">VLOOKUP(E3,Doi_tac!$A$2:$C$9,2,FALSE())</f>
        <v>TPBank</v>
      </c>
      <c r="G3" s="6" t="n">
        <f aca="false">VLOOKUP(E3,Doi_tac!$A$2:$C$9,3,FALSE())</f>
        <v>0.007</v>
      </c>
      <c r="H3" s="5" t="n">
        <f aca="false">D3*G3</f>
        <v>15190</v>
      </c>
    </row>
    <row r="4" customFormat="false" ht="15" hidden="false" customHeight="false" outlineLevel="0" collapsed="false">
      <c r="A4" s="4" t="s">
        <v>35</v>
      </c>
      <c r="B4" s="12" t="n">
        <v>45439</v>
      </c>
      <c r="C4" s="4" t="s">
        <v>10</v>
      </c>
      <c r="D4" s="13" t="n">
        <v>22140000</v>
      </c>
      <c r="E4" s="3" t="str">
        <f aca="false">TRIM(C4)</f>
        <v>BIDV</v>
      </c>
      <c r="F4" s="3" t="str">
        <f aca="false">VLOOKUP(E4,Doi_tac!$A$2:$C$9,2,FALSE())</f>
        <v>BIDV</v>
      </c>
      <c r="G4" s="6" t="n">
        <f aca="false">VLOOKUP(E4,Doi_tac!$A$2:$C$9,3,FALSE())</f>
        <v>0.009</v>
      </c>
      <c r="H4" s="5" t="n">
        <f aca="false">D4*G4</f>
        <v>199260</v>
      </c>
    </row>
    <row r="5" customFormat="false" ht="15" hidden="false" customHeight="false" outlineLevel="0" collapsed="false">
      <c r="A5" s="4" t="s">
        <v>36</v>
      </c>
      <c r="B5" s="12" t="n">
        <v>45424</v>
      </c>
      <c r="C5" s="4" t="s">
        <v>37</v>
      </c>
      <c r="D5" s="13" t="n">
        <v>24070000</v>
      </c>
      <c r="E5" s="3" t="str">
        <f aca="false">TRIM(C5)</f>
        <v>BIDV</v>
      </c>
      <c r="F5" s="3" t="str">
        <f aca="false">VLOOKUP(E5,Doi_tac!$A$2:$C$9,2,FALSE())</f>
        <v>BIDV</v>
      </c>
      <c r="G5" s="6" t="n">
        <f aca="false">VLOOKUP(E5,Doi_tac!$A$2:$C$9,3,FALSE())</f>
        <v>0.009</v>
      </c>
      <c r="H5" s="5" t="n">
        <f aca="false">D5*G5</f>
        <v>216630</v>
      </c>
    </row>
    <row r="6" customFormat="false" ht="15" hidden="false" customHeight="false" outlineLevel="0" collapsed="false">
      <c r="A6" s="4" t="s">
        <v>38</v>
      </c>
      <c r="B6" s="12" t="n">
        <v>45442</v>
      </c>
      <c r="C6" s="4" t="s">
        <v>8</v>
      </c>
      <c r="D6" s="13" t="n">
        <v>20980000</v>
      </c>
      <c r="E6" s="3" t="str">
        <f aca="false">TRIM(C6)</f>
        <v>VCB</v>
      </c>
      <c r="F6" s="3" t="str">
        <f aca="false">VLOOKUP(E6,Doi_tac!$A$2:$C$9,2,FALSE())</f>
        <v>Vietcombank</v>
      </c>
      <c r="G6" s="6" t="n">
        <f aca="false">VLOOKUP(E6,Doi_tac!$A$2:$C$9,3,FALSE())</f>
        <v>0.01</v>
      </c>
      <c r="H6" s="5" t="n">
        <f aca="false">D6*G6</f>
        <v>209800</v>
      </c>
    </row>
    <row r="7" customFormat="false" ht="15" hidden="false" customHeight="false" outlineLevel="0" collapsed="false">
      <c r="A7" s="4" t="s">
        <v>39</v>
      </c>
      <c r="B7" s="12" t="n">
        <v>45414</v>
      </c>
      <c r="C7" s="4" t="s">
        <v>14</v>
      </c>
      <c r="D7" s="13" t="n">
        <v>3720000</v>
      </c>
      <c r="E7" s="3" t="str">
        <f aca="false">TRIM(C7)</f>
        <v>TCB</v>
      </c>
      <c r="F7" s="3" t="str">
        <f aca="false">VLOOKUP(E7,Doi_tac!$A$2:$C$9,2,FALSE())</f>
        <v>Techcombank</v>
      </c>
      <c r="G7" s="6" t="n">
        <f aca="false">VLOOKUP(E7,Doi_tac!$A$2:$C$9,3,FALSE())</f>
        <v>0.008</v>
      </c>
      <c r="H7" s="5" t="n">
        <f aca="false">D7*G7</f>
        <v>29760</v>
      </c>
    </row>
    <row r="8" customFormat="false" ht="15" hidden="false" customHeight="false" outlineLevel="0" collapsed="false">
      <c r="A8" s="4" t="s">
        <v>40</v>
      </c>
      <c r="B8" s="12" t="n">
        <v>45426</v>
      </c>
      <c r="C8" s="4" t="s">
        <v>34</v>
      </c>
      <c r="D8" s="13" t="n">
        <v>3060000</v>
      </c>
      <c r="E8" s="3" t="str">
        <f aca="false">TRIM(C8)</f>
        <v>TPB</v>
      </c>
      <c r="F8" s="3" t="str">
        <f aca="false">VLOOKUP(E8,Doi_tac!$A$2:$C$9,2,FALSE())</f>
        <v>TPBank</v>
      </c>
      <c r="G8" s="6" t="n">
        <f aca="false">VLOOKUP(E8,Doi_tac!$A$2:$C$9,3,FALSE())</f>
        <v>0.007</v>
      </c>
      <c r="H8" s="5" t="n">
        <f aca="false">D8*G8</f>
        <v>21420</v>
      </c>
    </row>
    <row r="9" customFormat="false" ht="15" hidden="false" customHeight="false" outlineLevel="0" collapsed="false">
      <c r="A9" s="4" t="s">
        <v>41</v>
      </c>
      <c r="B9" s="12" t="n">
        <v>45415</v>
      </c>
      <c r="C9" s="4" t="s">
        <v>14</v>
      </c>
      <c r="D9" s="13" t="n">
        <v>22770000</v>
      </c>
      <c r="E9" s="3" t="str">
        <f aca="false">TRIM(C9)</f>
        <v>TCB</v>
      </c>
      <c r="F9" s="3" t="str">
        <f aca="false">VLOOKUP(E9,Doi_tac!$A$2:$C$9,2,FALSE())</f>
        <v>Techcombank</v>
      </c>
      <c r="G9" s="6" t="n">
        <f aca="false">VLOOKUP(E9,Doi_tac!$A$2:$C$9,3,FALSE())</f>
        <v>0.008</v>
      </c>
      <c r="H9" s="5" t="n">
        <f aca="false">D9*G9</f>
        <v>182160</v>
      </c>
    </row>
    <row r="10" customFormat="false" ht="15" hidden="false" customHeight="false" outlineLevel="0" collapsed="false">
      <c r="A10" s="4" t="s">
        <v>42</v>
      </c>
      <c r="B10" s="12" t="n">
        <v>45414</v>
      </c>
      <c r="C10" s="4" t="s">
        <v>18</v>
      </c>
      <c r="D10" s="13" t="n">
        <v>23360000</v>
      </c>
      <c r="E10" s="3" t="str">
        <f aca="false">TRIM(C10)</f>
        <v>TPB</v>
      </c>
      <c r="F10" s="3" t="str">
        <f aca="false">VLOOKUP(E10,Doi_tac!$A$2:$C$9,2,FALSE())</f>
        <v>TPBank</v>
      </c>
      <c r="G10" s="6" t="n">
        <f aca="false">VLOOKUP(E10,Doi_tac!$A$2:$C$9,3,FALSE())</f>
        <v>0.007</v>
      </c>
      <c r="H10" s="5" t="n">
        <f aca="false">D10*G10</f>
        <v>163520</v>
      </c>
    </row>
    <row r="11" customFormat="false" ht="15" hidden="false" customHeight="false" outlineLevel="0" collapsed="false">
      <c r="A11" s="4" t="s">
        <v>43</v>
      </c>
      <c r="B11" s="12" t="n">
        <v>45443</v>
      </c>
      <c r="C11" s="4" t="s">
        <v>10</v>
      </c>
      <c r="D11" s="13" t="n">
        <v>9340000</v>
      </c>
      <c r="E11" s="3" t="str">
        <f aca="false">TRIM(C11)</f>
        <v>BIDV</v>
      </c>
      <c r="F11" s="3" t="str">
        <f aca="false">VLOOKUP(E11,Doi_tac!$A$2:$C$9,2,FALSE())</f>
        <v>BIDV</v>
      </c>
      <c r="G11" s="6" t="n">
        <f aca="false">VLOOKUP(E11,Doi_tac!$A$2:$C$9,3,FALSE())</f>
        <v>0.009</v>
      </c>
      <c r="H11" s="5" t="n">
        <f aca="false">D11*G11</f>
        <v>84060</v>
      </c>
    </row>
    <row r="12" customFormat="false" ht="15" hidden="false" customHeight="false" outlineLevel="0" collapsed="false">
      <c r="A12" s="4" t="s">
        <v>44</v>
      </c>
      <c r="B12" s="12" t="n">
        <v>45431</v>
      </c>
      <c r="C12" s="4" t="s">
        <v>45</v>
      </c>
      <c r="D12" s="13" t="n">
        <v>24180000</v>
      </c>
      <c r="E12" s="3" t="str">
        <f aca="false">TRIM(C12)</f>
        <v>VCB</v>
      </c>
      <c r="F12" s="3" t="str">
        <f aca="false">VLOOKUP(E12,Doi_tac!$A$2:$C$9,2,FALSE())</f>
        <v>Vietcombank</v>
      </c>
      <c r="G12" s="6" t="n">
        <f aca="false">VLOOKUP(E12,Doi_tac!$A$2:$C$9,3,FALSE())</f>
        <v>0.01</v>
      </c>
      <c r="H12" s="5" t="n">
        <f aca="false">D12*G12</f>
        <v>241800</v>
      </c>
    </row>
    <row r="13" customFormat="false" ht="15" hidden="false" customHeight="false" outlineLevel="0" collapsed="false">
      <c r="A13" s="4" t="s">
        <v>46</v>
      </c>
      <c r="B13" s="12" t="n">
        <v>45414</v>
      </c>
      <c r="C13" s="4" t="s">
        <v>34</v>
      </c>
      <c r="D13" s="13" t="n">
        <v>9250000</v>
      </c>
      <c r="E13" s="3" t="str">
        <f aca="false">TRIM(C13)</f>
        <v>TPB</v>
      </c>
      <c r="F13" s="3" t="str">
        <f aca="false">VLOOKUP(E13,Doi_tac!$A$2:$C$9,2,FALSE())</f>
        <v>TPBank</v>
      </c>
      <c r="G13" s="6" t="n">
        <f aca="false">VLOOKUP(E13,Doi_tac!$A$2:$C$9,3,FALSE())</f>
        <v>0.007</v>
      </c>
      <c r="H13" s="5" t="n">
        <f aca="false">D13*G13</f>
        <v>64750</v>
      </c>
    </row>
    <row r="14" customFormat="false" ht="15" hidden="false" customHeight="false" outlineLevel="0" collapsed="false">
      <c r="A14" s="4" t="s">
        <v>47</v>
      </c>
      <c r="B14" s="12" t="n">
        <v>45430</v>
      </c>
      <c r="C14" s="4" t="s">
        <v>8</v>
      </c>
      <c r="D14" s="13" t="n">
        <v>5650000</v>
      </c>
      <c r="E14" s="3" t="str">
        <f aca="false">TRIM(C14)</f>
        <v>VCB</v>
      </c>
      <c r="F14" s="3" t="str">
        <f aca="false">VLOOKUP(E14,Doi_tac!$A$2:$C$9,2,FALSE())</f>
        <v>Vietcombank</v>
      </c>
      <c r="G14" s="6" t="n">
        <f aca="false">VLOOKUP(E14,Doi_tac!$A$2:$C$9,3,FALSE())</f>
        <v>0.01</v>
      </c>
      <c r="H14" s="5" t="n">
        <f aca="false">D14*G14</f>
        <v>56500</v>
      </c>
    </row>
    <row r="15" customFormat="false" ht="15" hidden="false" customHeight="false" outlineLevel="0" collapsed="false">
      <c r="A15" s="4" t="s">
        <v>48</v>
      </c>
      <c r="B15" s="12" t="n">
        <v>45426</v>
      </c>
      <c r="C15" s="4" t="s">
        <v>16</v>
      </c>
      <c r="D15" s="13" t="n">
        <v>6100000</v>
      </c>
      <c r="E15" s="3" t="str">
        <f aca="false">TRIM(C15)</f>
        <v>MB</v>
      </c>
      <c r="F15" s="3" t="str">
        <f aca="false">VLOOKUP(E15,Doi_tac!$A$2:$C$9,2,FALSE())</f>
        <v>MB Bank</v>
      </c>
      <c r="G15" s="6" t="n">
        <f aca="false">VLOOKUP(E15,Doi_tac!$A$2:$C$9,3,FALSE())</f>
        <v>0.0075</v>
      </c>
      <c r="H15" s="5" t="n">
        <f aca="false">D15*G15</f>
        <v>45750</v>
      </c>
    </row>
    <row r="16" customFormat="false" ht="15" hidden="false" customHeight="false" outlineLevel="0" collapsed="false">
      <c r="A16" s="4" t="s">
        <v>49</v>
      </c>
      <c r="B16" s="12" t="n">
        <v>45431</v>
      </c>
      <c r="C16" s="4" t="s">
        <v>10</v>
      </c>
      <c r="D16" s="13" t="n">
        <v>12830000</v>
      </c>
      <c r="E16" s="3" t="str">
        <f aca="false">TRIM(C16)</f>
        <v>BIDV</v>
      </c>
      <c r="F16" s="3" t="str">
        <f aca="false">VLOOKUP(E16,Doi_tac!$A$2:$C$9,2,FALSE())</f>
        <v>BIDV</v>
      </c>
      <c r="G16" s="6" t="n">
        <f aca="false">VLOOKUP(E16,Doi_tac!$A$2:$C$9,3,FALSE())</f>
        <v>0.009</v>
      </c>
      <c r="H16" s="5" t="n">
        <f aca="false">D16*G16</f>
        <v>115470</v>
      </c>
    </row>
    <row r="17" customFormat="false" ht="15" hidden="false" customHeight="false" outlineLevel="0" collapsed="false">
      <c r="A17" s="4" t="s">
        <v>50</v>
      </c>
      <c r="B17" s="12" t="n">
        <v>45416</v>
      </c>
      <c r="C17" s="4" t="s">
        <v>12</v>
      </c>
      <c r="D17" s="13" t="n">
        <v>24020000</v>
      </c>
      <c r="E17" s="3" t="str">
        <f aca="false">TRIM(C17)</f>
        <v>VTB</v>
      </c>
      <c r="F17" s="3" t="str">
        <f aca="false">VLOOKUP(E17,Doi_tac!$A$2:$C$9,2,FALSE())</f>
        <v>VietinBank</v>
      </c>
      <c r="G17" s="6" t="n">
        <f aca="false">VLOOKUP(E17,Doi_tac!$A$2:$C$9,3,FALSE())</f>
        <v>0.0085</v>
      </c>
      <c r="H17" s="5" t="n">
        <f aca="false">D17*G17</f>
        <v>204170</v>
      </c>
    </row>
    <row r="18" customFormat="false" ht="15" hidden="false" customHeight="false" outlineLevel="0" collapsed="false">
      <c r="A18" s="4" t="s">
        <v>51</v>
      </c>
      <c r="B18" s="12" t="n">
        <v>45424</v>
      </c>
      <c r="C18" s="4" t="s">
        <v>52</v>
      </c>
      <c r="D18" s="13" t="n">
        <v>4190000</v>
      </c>
      <c r="E18" s="3" t="str">
        <f aca="false">TRIM(C18)</f>
        <v>TCB</v>
      </c>
      <c r="F18" s="3" t="str">
        <f aca="false">VLOOKUP(E18,Doi_tac!$A$2:$C$9,2,FALSE())</f>
        <v>Techcombank</v>
      </c>
      <c r="G18" s="6" t="n">
        <f aca="false">VLOOKUP(E18,Doi_tac!$A$2:$C$9,3,FALSE())</f>
        <v>0.008</v>
      </c>
      <c r="H18" s="5" t="n">
        <f aca="false">D18*G18</f>
        <v>33520</v>
      </c>
    </row>
    <row r="19" customFormat="false" ht="15" hidden="false" customHeight="false" outlineLevel="0" collapsed="false">
      <c r="A19" s="4" t="s">
        <v>53</v>
      </c>
      <c r="B19" s="12" t="n">
        <v>45431</v>
      </c>
      <c r="C19" s="4" t="s">
        <v>37</v>
      </c>
      <c r="D19" s="13" t="n">
        <v>2640000</v>
      </c>
      <c r="E19" s="3" t="str">
        <f aca="false">TRIM(C19)</f>
        <v>BIDV</v>
      </c>
      <c r="F19" s="3" t="str">
        <f aca="false">VLOOKUP(E19,Doi_tac!$A$2:$C$9,2,FALSE())</f>
        <v>BIDV</v>
      </c>
      <c r="G19" s="6" t="n">
        <f aca="false">VLOOKUP(E19,Doi_tac!$A$2:$C$9,3,FALSE())</f>
        <v>0.009</v>
      </c>
      <c r="H19" s="5" t="n">
        <f aca="false">D19*G19</f>
        <v>23760</v>
      </c>
    </row>
    <row r="20" customFormat="false" ht="15" hidden="false" customHeight="false" outlineLevel="0" collapsed="false">
      <c r="A20" s="4" t="s">
        <v>54</v>
      </c>
      <c r="B20" s="12" t="n">
        <v>45428</v>
      </c>
      <c r="C20" s="4" t="s">
        <v>14</v>
      </c>
      <c r="D20" s="13" t="n">
        <v>21970000</v>
      </c>
      <c r="E20" s="3" t="str">
        <f aca="false">TRIM(C20)</f>
        <v>TCB</v>
      </c>
      <c r="F20" s="3" t="str">
        <f aca="false">VLOOKUP(E20,Doi_tac!$A$2:$C$9,2,FALSE())</f>
        <v>Techcombank</v>
      </c>
      <c r="G20" s="6" t="n">
        <f aca="false">VLOOKUP(E20,Doi_tac!$A$2:$C$9,3,FALSE())</f>
        <v>0.008</v>
      </c>
      <c r="H20" s="5" t="n">
        <f aca="false">D20*G20</f>
        <v>175760</v>
      </c>
    </row>
    <row r="21" customFormat="false" ht="15" hidden="false" customHeight="false" outlineLevel="0" collapsed="false">
      <c r="A21" s="4" t="s">
        <v>55</v>
      </c>
      <c r="B21" s="12" t="n">
        <v>45437</v>
      </c>
      <c r="C21" s="4" t="s">
        <v>18</v>
      </c>
      <c r="D21" s="13" t="n">
        <v>13060000</v>
      </c>
      <c r="E21" s="3" t="str">
        <f aca="false">TRIM(C21)</f>
        <v>TPB</v>
      </c>
      <c r="F21" s="3" t="str">
        <f aca="false">VLOOKUP(E21,Doi_tac!$A$2:$C$9,2,FALSE())</f>
        <v>TPBank</v>
      </c>
      <c r="G21" s="6" t="n">
        <f aca="false">VLOOKUP(E21,Doi_tac!$A$2:$C$9,3,FALSE())</f>
        <v>0.007</v>
      </c>
      <c r="H21" s="5" t="n">
        <f aca="false">D21*G21</f>
        <v>91420</v>
      </c>
    </row>
    <row r="22" customFormat="false" ht="15" hidden="false" customHeight="false" outlineLevel="0" collapsed="false">
      <c r="A22" s="4" t="s">
        <v>56</v>
      </c>
      <c r="B22" s="12" t="n">
        <v>45431</v>
      </c>
      <c r="C22" s="4" t="s">
        <v>19</v>
      </c>
      <c r="D22" s="13" t="n">
        <v>18760000</v>
      </c>
      <c r="E22" s="3" t="str">
        <f aca="false">TRIM(C22)</f>
        <v>SHB</v>
      </c>
      <c r="F22" s="3" t="str">
        <f aca="false">VLOOKUP(E22,Doi_tac!$A$2:$C$9,2,FALSE())</f>
        <v>SHB</v>
      </c>
      <c r="G22" s="6" t="n">
        <f aca="false">VLOOKUP(E22,Doi_tac!$A$2:$C$9,3,FALSE())</f>
        <v>0.0065</v>
      </c>
      <c r="H22" s="5" t="n">
        <f aca="false">D22*G22</f>
        <v>121940</v>
      </c>
    </row>
    <row r="23" customFormat="false" ht="15" hidden="false" customHeight="false" outlineLevel="0" collapsed="false">
      <c r="A23" s="4" t="s">
        <v>57</v>
      </c>
      <c r="B23" s="12" t="n">
        <v>45422</v>
      </c>
      <c r="C23" s="4" t="s">
        <v>58</v>
      </c>
      <c r="D23" s="13" t="n">
        <v>10370000</v>
      </c>
      <c r="E23" s="3" t="str">
        <f aca="false">TRIM(C23)</f>
        <v>ACB</v>
      </c>
      <c r="F23" s="3" t="str">
        <f aca="false">VLOOKUP(E23,Doi_tac!$A$2:$C$9,2,FALSE())</f>
        <v>ACB</v>
      </c>
      <c r="G23" s="6" t="n">
        <f aca="false">VLOOKUP(E23,Doi_tac!$A$2:$C$9,3,FALSE())</f>
        <v>0.007</v>
      </c>
      <c r="H23" s="5" t="n">
        <f aca="false">D23*G23</f>
        <v>72590</v>
      </c>
    </row>
    <row r="24" customFormat="false" ht="15" hidden="false" customHeight="false" outlineLevel="0" collapsed="false">
      <c r="A24" s="4" t="s">
        <v>59</v>
      </c>
      <c r="B24" s="12" t="n">
        <v>45435</v>
      </c>
      <c r="C24" s="4" t="s">
        <v>12</v>
      </c>
      <c r="D24" s="13" t="n">
        <v>10190000</v>
      </c>
      <c r="E24" s="3" t="str">
        <f aca="false">TRIM(C24)</f>
        <v>VTB</v>
      </c>
      <c r="F24" s="3" t="str">
        <f aca="false">VLOOKUP(E24,Doi_tac!$A$2:$C$9,2,FALSE())</f>
        <v>VietinBank</v>
      </c>
      <c r="G24" s="6" t="n">
        <f aca="false">VLOOKUP(E24,Doi_tac!$A$2:$C$9,3,FALSE())</f>
        <v>0.0085</v>
      </c>
      <c r="H24" s="5" t="n">
        <f aca="false">D24*G24</f>
        <v>86615</v>
      </c>
    </row>
    <row r="25" customFormat="false" ht="15" hidden="false" customHeight="false" outlineLevel="0" collapsed="false">
      <c r="A25" s="4" t="s">
        <v>60</v>
      </c>
      <c r="B25" s="12" t="n">
        <v>45431</v>
      </c>
      <c r="C25" s="4" t="s">
        <v>10</v>
      </c>
      <c r="D25" s="13" t="n">
        <v>12490000</v>
      </c>
      <c r="E25" s="3" t="str">
        <f aca="false">TRIM(C25)</f>
        <v>BIDV</v>
      </c>
      <c r="F25" s="3" t="str">
        <f aca="false">VLOOKUP(E25,Doi_tac!$A$2:$C$9,2,FALSE())</f>
        <v>BIDV</v>
      </c>
      <c r="G25" s="6" t="n">
        <f aca="false">VLOOKUP(E25,Doi_tac!$A$2:$C$9,3,FALSE())</f>
        <v>0.009</v>
      </c>
      <c r="H25" s="5" t="n">
        <f aca="false">D25*G25</f>
        <v>112410</v>
      </c>
    </row>
    <row r="26" customFormat="false" ht="15" hidden="false" customHeight="false" outlineLevel="0" collapsed="false">
      <c r="A26" s="4" t="s">
        <v>61</v>
      </c>
      <c r="B26" s="12" t="n">
        <v>45441</v>
      </c>
      <c r="C26" s="4" t="s">
        <v>62</v>
      </c>
      <c r="D26" s="13" t="n">
        <v>14260000</v>
      </c>
      <c r="E26" s="3" t="str">
        <f aca="false">TRIM(C26)</f>
        <v>SHB</v>
      </c>
      <c r="F26" s="3" t="str">
        <f aca="false">VLOOKUP(E26,Doi_tac!$A$2:$C$9,2,FALSE())</f>
        <v>SHB</v>
      </c>
      <c r="G26" s="6" t="n">
        <f aca="false">VLOOKUP(E26,Doi_tac!$A$2:$C$9,3,FALSE())</f>
        <v>0.0065</v>
      </c>
      <c r="H26" s="5" t="n">
        <f aca="false">D26*G26</f>
        <v>92690</v>
      </c>
    </row>
    <row r="27" customFormat="false" ht="15" hidden="false" customHeight="false" outlineLevel="0" collapsed="false">
      <c r="A27" s="4" t="s">
        <v>63</v>
      </c>
      <c r="B27" s="12" t="n">
        <v>45422</v>
      </c>
      <c r="C27" s="4" t="s">
        <v>19</v>
      </c>
      <c r="D27" s="13" t="n">
        <v>3190000</v>
      </c>
      <c r="E27" s="3" t="str">
        <f aca="false">TRIM(C27)</f>
        <v>SHB</v>
      </c>
      <c r="F27" s="3" t="str">
        <f aca="false">VLOOKUP(E27,Doi_tac!$A$2:$C$9,2,FALSE())</f>
        <v>SHB</v>
      </c>
      <c r="G27" s="6" t="n">
        <f aca="false">VLOOKUP(E27,Doi_tac!$A$2:$C$9,3,FALSE())</f>
        <v>0.0065</v>
      </c>
      <c r="H27" s="5" t="n">
        <f aca="false">D27*G27</f>
        <v>20735</v>
      </c>
    </row>
    <row r="28" customFormat="false" ht="15" hidden="false" customHeight="false" outlineLevel="0" collapsed="false">
      <c r="A28" s="4" t="s">
        <v>64</v>
      </c>
      <c r="B28" s="12" t="n">
        <v>45429</v>
      </c>
      <c r="C28" s="4" t="s">
        <v>65</v>
      </c>
      <c r="D28" s="13" t="n">
        <v>17320000</v>
      </c>
      <c r="E28" s="3" t="str">
        <f aca="false">TRIM(C28)</f>
        <v>BIDV</v>
      </c>
      <c r="F28" s="3" t="str">
        <f aca="false">VLOOKUP(E28,Doi_tac!$A$2:$C$9,2,FALSE())</f>
        <v>BIDV</v>
      </c>
      <c r="G28" s="6" t="n">
        <f aca="false">VLOOKUP(E28,Doi_tac!$A$2:$C$9,3,FALSE())</f>
        <v>0.009</v>
      </c>
      <c r="H28" s="5" t="n">
        <f aca="false">D28*G28</f>
        <v>155880</v>
      </c>
    </row>
    <row r="29" customFormat="false" ht="15" hidden="false" customHeight="false" outlineLevel="0" collapsed="false">
      <c r="A29" s="4" t="s">
        <v>66</v>
      </c>
      <c r="B29" s="12" t="n">
        <v>45437</v>
      </c>
      <c r="C29" s="4" t="s">
        <v>12</v>
      </c>
      <c r="D29" s="13" t="n">
        <v>14210000</v>
      </c>
      <c r="E29" s="3" t="str">
        <f aca="false">TRIM(C29)</f>
        <v>VTB</v>
      </c>
      <c r="F29" s="3" t="str">
        <f aca="false">VLOOKUP(E29,Doi_tac!$A$2:$C$9,2,FALSE())</f>
        <v>VietinBank</v>
      </c>
      <c r="G29" s="6" t="n">
        <f aca="false">VLOOKUP(E29,Doi_tac!$A$2:$C$9,3,FALSE())</f>
        <v>0.0085</v>
      </c>
      <c r="H29" s="5" t="n">
        <f aca="false">D29*G29</f>
        <v>120785</v>
      </c>
    </row>
    <row r="30" customFormat="false" ht="15" hidden="false" customHeight="false" outlineLevel="0" collapsed="false">
      <c r="A30" s="4" t="s">
        <v>67</v>
      </c>
      <c r="B30" s="12" t="n">
        <v>45442</v>
      </c>
      <c r="C30" s="4" t="s">
        <v>12</v>
      </c>
      <c r="D30" s="13" t="n">
        <v>20220000</v>
      </c>
      <c r="E30" s="3" t="str">
        <f aca="false">TRIM(C30)</f>
        <v>VTB</v>
      </c>
      <c r="F30" s="3" t="str">
        <f aca="false">VLOOKUP(E30,Doi_tac!$A$2:$C$9,2,FALSE())</f>
        <v>VietinBank</v>
      </c>
      <c r="G30" s="6" t="n">
        <f aca="false">VLOOKUP(E30,Doi_tac!$A$2:$C$9,3,FALSE())</f>
        <v>0.0085</v>
      </c>
      <c r="H30" s="5" t="n">
        <f aca="false">D30*G30</f>
        <v>171870</v>
      </c>
    </row>
    <row r="31" customFormat="false" ht="15" hidden="false" customHeight="false" outlineLevel="0" collapsed="false">
      <c r="A31" s="4" t="s">
        <v>68</v>
      </c>
      <c r="B31" s="12" t="n">
        <v>45414</v>
      </c>
      <c r="C31" s="4" t="s">
        <v>18</v>
      </c>
      <c r="D31" s="13" t="n">
        <v>3370000</v>
      </c>
      <c r="E31" s="3" t="str">
        <f aca="false">TRIM(C31)</f>
        <v>TPB</v>
      </c>
      <c r="F31" s="3" t="str">
        <f aca="false">VLOOKUP(E31,Doi_tac!$A$2:$C$9,2,FALSE())</f>
        <v>TPBank</v>
      </c>
      <c r="G31" s="6" t="n">
        <f aca="false">VLOOKUP(E31,Doi_tac!$A$2:$C$9,3,FALSE())</f>
        <v>0.007</v>
      </c>
      <c r="H31" s="5" t="n">
        <f aca="false">D31*G31</f>
        <v>23590</v>
      </c>
    </row>
    <row r="32" customFormat="false" ht="15" hidden="false" customHeight="false" outlineLevel="0" collapsed="false">
      <c r="A32" s="4" t="s">
        <v>69</v>
      </c>
      <c r="B32" s="12" t="n">
        <v>45423</v>
      </c>
      <c r="C32" s="4" t="s">
        <v>17</v>
      </c>
      <c r="D32" s="13" t="n">
        <v>14540000</v>
      </c>
      <c r="E32" s="3" t="str">
        <f aca="false">TRIM(C32)</f>
        <v>ACB</v>
      </c>
      <c r="F32" s="3" t="str">
        <f aca="false">VLOOKUP(E32,Doi_tac!$A$2:$C$9,2,FALSE())</f>
        <v>ACB</v>
      </c>
      <c r="G32" s="6" t="n">
        <f aca="false">VLOOKUP(E32,Doi_tac!$A$2:$C$9,3,FALSE())</f>
        <v>0.007</v>
      </c>
      <c r="H32" s="5" t="n">
        <f aca="false">D32*G32</f>
        <v>101780</v>
      </c>
    </row>
    <row r="33" customFormat="false" ht="15" hidden="false" customHeight="false" outlineLevel="0" collapsed="false">
      <c r="A33" s="4" t="s">
        <v>70</v>
      </c>
      <c r="B33" s="12" t="n">
        <v>45431</v>
      </c>
      <c r="C33" s="4" t="s">
        <v>62</v>
      </c>
      <c r="D33" s="13" t="n">
        <v>18880000</v>
      </c>
      <c r="E33" s="3" t="str">
        <f aca="false">TRIM(C33)</f>
        <v>SHB</v>
      </c>
      <c r="F33" s="3" t="str">
        <f aca="false">VLOOKUP(E33,Doi_tac!$A$2:$C$9,2,FALSE())</f>
        <v>SHB</v>
      </c>
      <c r="G33" s="6" t="n">
        <f aca="false">VLOOKUP(E33,Doi_tac!$A$2:$C$9,3,FALSE())</f>
        <v>0.0065</v>
      </c>
      <c r="H33" s="5" t="n">
        <f aca="false">D33*G33</f>
        <v>122720</v>
      </c>
    </row>
    <row r="34" customFormat="false" ht="15" hidden="false" customHeight="false" outlineLevel="0" collapsed="false">
      <c r="A34" s="4" t="s">
        <v>71</v>
      </c>
      <c r="B34" s="12" t="n">
        <v>45439</v>
      </c>
      <c r="C34" s="4" t="s">
        <v>10</v>
      </c>
      <c r="D34" s="13" t="n">
        <v>4030000</v>
      </c>
      <c r="E34" s="3" t="str">
        <f aca="false">TRIM(C34)</f>
        <v>BIDV</v>
      </c>
      <c r="F34" s="3" t="str">
        <f aca="false">VLOOKUP(E34,Doi_tac!$A$2:$C$9,2,FALSE())</f>
        <v>BIDV</v>
      </c>
      <c r="G34" s="6" t="n">
        <f aca="false">VLOOKUP(E34,Doi_tac!$A$2:$C$9,3,FALSE())</f>
        <v>0.009</v>
      </c>
      <c r="H34" s="5" t="n">
        <f aca="false">D34*G34</f>
        <v>36270</v>
      </c>
    </row>
    <row r="35" customFormat="false" ht="15" hidden="false" customHeight="false" outlineLevel="0" collapsed="false">
      <c r="A35" s="4" t="s">
        <v>72</v>
      </c>
      <c r="B35" s="12" t="n">
        <v>45428</v>
      </c>
      <c r="C35" s="4" t="s">
        <v>16</v>
      </c>
      <c r="D35" s="13" t="n">
        <v>2860000</v>
      </c>
      <c r="E35" s="3" t="str">
        <f aca="false">TRIM(C35)</f>
        <v>MB</v>
      </c>
      <c r="F35" s="3" t="str">
        <f aca="false">VLOOKUP(E35,Doi_tac!$A$2:$C$9,2,FALSE())</f>
        <v>MB Bank</v>
      </c>
      <c r="G35" s="6" t="n">
        <f aca="false">VLOOKUP(E35,Doi_tac!$A$2:$C$9,3,FALSE())</f>
        <v>0.0075</v>
      </c>
      <c r="H35" s="5" t="n">
        <f aca="false">D35*G35</f>
        <v>21450</v>
      </c>
    </row>
    <row r="36" customFormat="false" ht="15" hidden="false" customHeight="false" outlineLevel="0" collapsed="false">
      <c r="A36" s="4" t="s">
        <v>73</v>
      </c>
      <c r="B36" s="12" t="n">
        <v>45436</v>
      </c>
      <c r="C36" s="4" t="s">
        <v>8</v>
      </c>
      <c r="D36" s="13" t="n">
        <v>12880000</v>
      </c>
      <c r="E36" s="3" t="str">
        <f aca="false">TRIM(C36)</f>
        <v>VCB</v>
      </c>
      <c r="F36" s="3" t="str">
        <f aca="false">VLOOKUP(E36,Doi_tac!$A$2:$C$9,2,FALSE())</f>
        <v>Vietcombank</v>
      </c>
      <c r="G36" s="6" t="n">
        <f aca="false">VLOOKUP(E36,Doi_tac!$A$2:$C$9,3,FALSE())</f>
        <v>0.01</v>
      </c>
      <c r="H36" s="5" t="n">
        <f aca="false">D36*G36</f>
        <v>128800</v>
      </c>
    </row>
    <row r="37" customFormat="false" ht="15" hidden="false" customHeight="false" outlineLevel="0" collapsed="false">
      <c r="A37" s="4" t="s">
        <v>74</v>
      </c>
      <c r="B37" s="12" t="n">
        <v>45422</v>
      </c>
      <c r="C37" s="4" t="s">
        <v>19</v>
      </c>
      <c r="D37" s="13" t="n">
        <v>16000000</v>
      </c>
      <c r="E37" s="3" t="str">
        <f aca="false">TRIM(C37)</f>
        <v>SHB</v>
      </c>
      <c r="F37" s="3" t="str">
        <f aca="false">VLOOKUP(E37,Doi_tac!$A$2:$C$9,2,FALSE())</f>
        <v>SHB</v>
      </c>
      <c r="G37" s="6" t="n">
        <f aca="false">VLOOKUP(E37,Doi_tac!$A$2:$C$9,3,FALSE())</f>
        <v>0.0065</v>
      </c>
      <c r="H37" s="5" t="n">
        <f aca="false">D37*G37</f>
        <v>104000</v>
      </c>
    </row>
    <row r="38" customFormat="false" ht="15" hidden="false" customHeight="false" outlineLevel="0" collapsed="false">
      <c r="A38" s="4" t="s">
        <v>75</v>
      </c>
      <c r="B38" s="12" t="n">
        <v>45413</v>
      </c>
      <c r="C38" s="4" t="s">
        <v>58</v>
      </c>
      <c r="D38" s="13" t="n">
        <v>19110000</v>
      </c>
      <c r="E38" s="3" t="str">
        <f aca="false">TRIM(C38)</f>
        <v>ACB</v>
      </c>
      <c r="F38" s="3" t="str">
        <f aca="false">VLOOKUP(E38,Doi_tac!$A$2:$C$9,2,FALSE())</f>
        <v>ACB</v>
      </c>
      <c r="G38" s="6" t="n">
        <f aca="false">VLOOKUP(E38,Doi_tac!$A$2:$C$9,3,FALSE())</f>
        <v>0.007</v>
      </c>
      <c r="H38" s="5" t="n">
        <f aca="false">D38*G38</f>
        <v>133770</v>
      </c>
    </row>
    <row r="39" customFormat="false" ht="15" hidden="false" customHeight="false" outlineLevel="0" collapsed="false">
      <c r="A39" s="4" t="s">
        <v>76</v>
      </c>
      <c r="B39" s="12" t="n">
        <v>45418</v>
      </c>
      <c r="C39" s="4" t="s">
        <v>17</v>
      </c>
      <c r="D39" s="13" t="n">
        <v>4990000</v>
      </c>
      <c r="E39" s="3" t="str">
        <f aca="false">TRIM(C39)</f>
        <v>ACB</v>
      </c>
      <c r="F39" s="3" t="str">
        <f aca="false">VLOOKUP(E39,Doi_tac!$A$2:$C$9,2,FALSE())</f>
        <v>ACB</v>
      </c>
      <c r="G39" s="6" t="n">
        <f aca="false">VLOOKUP(E39,Doi_tac!$A$2:$C$9,3,FALSE())</f>
        <v>0.007</v>
      </c>
      <c r="H39" s="5" t="n">
        <f aca="false">D39*G39</f>
        <v>34930</v>
      </c>
    </row>
    <row r="40" customFormat="false" ht="15" hidden="false" customHeight="false" outlineLevel="0" collapsed="false">
      <c r="A40" s="4" t="s">
        <v>77</v>
      </c>
      <c r="B40" s="12" t="n">
        <v>45414</v>
      </c>
      <c r="C40" s="4" t="s">
        <v>62</v>
      </c>
      <c r="D40" s="13" t="n">
        <v>9130000</v>
      </c>
      <c r="E40" s="3" t="str">
        <f aca="false">TRIM(C40)</f>
        <v>SHB</v>
      </c>
      <c r="F40" s="3" t="str">
        <f aca="false">VLOOKUP(E40,Doi_tac!$A$2:$C$9,2,FALSE())</f>
        <v>SHB</v>
      </c>
      <c r="G40" s="6" t="n">
        <f aca="false">VLOOKUP(E40,Doi_tac!$A$2:$C$9,3,FALSE())</f>
        <v>0.0065</v>
      </c>
      <c r="H40" s="5" t="n">
        <f aca="false">D40*G40</f>
        <v>59345</v>
      </c>
    </row>
    <row r="41" customFormat="false" ht="15" hidden="false" customHeight="false" outlineLevel="0" collapsed="false">
      <c r="A41" s="4" t="s">
        <v>78</v>
      </c>
      <c r="B41" s="12" t="n">
        <v>45417</v>
      </c>
      <c r="C41" s="4" t="s">
        <v>16</v>
      </c>
      <c r="D41" s="13" t="n">
        <v>10340000</v>
      </c>
      <c r="E41" s="3" t="str">
        <f aca="false">TRIM(C41)</f>
        <v>MB</v>
      </c>
      <c r="F41" s="3" t="str">
        <f aca="false">VLOOKUP(E41,Doi_tac!$A$2:$C$9,2,FALSE())</f>
        <v>MB Bank</v>
      </c>
      <c r="G41" s="6" t="n">
        <f aca="false">VLOOKUP(E41,Doi_tac!$A$2:$C$9,3,FALSE())</f>
        <v>0.0075</v>
      </c>
      <c r="H41" s="5" t="n">
        <f aca="false">D41*G41</f>
        <v>77550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2026-10-26T10:15:55Z</dcterms:created>
  <dc:creator>openpyxl</dc:creator>
  <dc:description/>
  <dc:language>en-US</dc:language>
  <cp:lastModifiedBy/>
  <dcterms:modified xsi:type="dcterms:W3CDTF">2026-10-26T10:15:55Z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